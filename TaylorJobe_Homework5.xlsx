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\Desktop\"/>
    </mc:Choice>
  </mc:AlternateContent>
  <xr:revisionPtr revIDLastSave="0" documentId="13_ncr:1_{B905A381-E878-4E85-A64D-68D6C0FB7AB9}" xr6:coauthVersionLast="47" xr6:coauthVersionMax="47" xr10:uidLastSave="{00000000-0000-0000-0000-000000000000}"/>
  <bookViews>
    <workbookView xWindow="-108" yWindow="-108" windowWidth="23256" windowHeight="12456" firstSheet="7" activeTab="7" xr2:uid="{F15BAFD5-AB19-4277-ACF4-86F442FBA07E}"/>
  </bookViews>
  <sheets>
    <sheet name="Question 1" sheetId="2" r:id="rId1"/>
    <sheet name="Question2.a" sheetId="3" r:id="rId2"/>
    <sheet name="Question2.b" sheetId="4" r:id="rId3"/>
    <sheet name="Question2.c" sheetId="5" r:id="rId4"/>
    <sheet name="Question3" sheetId="7" r:id="rId5"/>
    <sheet name="Question4" sheetId="1" r:id="rId6"/>
    <sheet name="Question5.a" sheetId="8" r:id="rId7"/>
    <sheet name="Question5.b" sheetId="9" r:id="rId8"/>
    <sheet name="Question5.c" sheetId="10" r:id="rId9"/>
    <sheet name="Question6.a" sheetId="11" r:id="rId10"/>
    <sheet name="Question6.b" sheetId="12" r:id="rId11"/>
    <sheet name="Question6.c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5" i="10"/>
  <c r="F6" i="9"/>
  <c r="E5" i="9"/>
  <c r="F6" i="8"/>
  <c r="E5" i="8"/>
  <c r="C4" i="5"/>
  <c r="C5" i="5"/>
  <c r="C6" i="5"/>
  <c r="C7" i="5"/>
  <c r="C8" i="5"/>
  <c r="C9" i="5"/>
  <c r="C10" i="5"/>
  <c r="C11" i="5"/>
  <c r="C12" i="5"/>
  <c r="C4" i="4"/>
  <c r="C5" i="4"/>
  <c r="C6" i="4"/>
  <c r="C7" i="4"/>
  <c r="C8" i="4"/>
  <c r="C9" i="4"/>
  <c r="C10" i="4"/>
  <c r="C11" i="4"/>
  <c r="C12" i="4"/>
  <c r="C4" i="3"/>
  <c r="C5" i="3"/>
  <c r="C6" i="3"/>
  <c r="C7" i="3"/>
  <c r="C8" i="3"/>
  <c r="C9" i="3"/>
  <c r="C10" i="3"/>
  <c r="C11" i="3"/>
  <c r="C12" i="3"/>
</calcChain>
</file>

<file path=xl/sharedStrings.xml><?xml version="1.0" encoding="utf-8"?>
<sst xmlns="http://schemas.openxmlformats.org/spreadsheetml/2006/main" count="98" uniqueCount="34">
  <si>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</si>
  <si>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</si>
  <si>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</si>
  <si>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</si>
  <si>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</si>
  <si>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</si>
  <si>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</si>
  <si>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</si>
  <si>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</si>
  <si>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Imported Data Set</t>
  </si>
  <si>
    <t>Column 1</t>
  </si>
  <si>
    <t>Column 2</t>
  </si>
  <si>
    <t>ProductA</t>
  </si>
  <si>
    <t>ProductB</t>
  </si>
  <si>
    <t>*Negatively Related</t>
  </si>
  <si>
    <t>ProductC</t>
  </si>
  <si>
    <t>SUMMARY</t>
  </si>
  <si>
    <t>Groups</t>
  </si>
  <si>
    <t>Count</t>
  </si>
  <si>
    <t>Sum</t>
  </si>
  <si>
    <t>Average</t>
  </si>
  <si>
    <t>Anova: Single Factor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</si>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</sst>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0" fillId="33" borderId="11" xfId="0" applyFill="1" applyBorder="1"/>
    <xf numFmtId="0" fontId="0" fillId="33" borderId="0" xfId="0" applyFill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Question2.a!$A$3:$A$13</c:f>
              <c:numCache>
                <c:formatCode>General</c:formatCode>
                <c:ptCount val="11"/>
                <c:pt idx="0">
                  <c:v>3598</c:v>
                </c:pt>
                <c:pt idx="1">
                  <c:v>8765</c:v>
                </c:pt>
                <c:pt idx="2">
                  <c:v>4539</c:v>
                </c:pt>
                <c:pt idx="3">
                  <c:v>6238</c:v>
                </c:pt>
                <c:pt idx="4">
                  <c:v>8728</c:v>
                </c:pt>
                <c:pt idx="5">
                  <c:v>4589</c:v>
                </c:pt>
                <c:pt idx="6">
                  <c:v>6098</c:v>
                </c:pt>
                <c:pt idx="7">
                  <c:v>7312</c:v>
                </c:pt>
                <c:pt idx="8">
                  <c:v>8361</c:v>
                </c:pt>
                <c:pt idx="9">
                  <c:v>5343</c:v>
                </c:pt>
                <c:pt idx="10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07-42F1-948B-B00C8D8F5928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Question2.a!$C$2:$C$12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5634</c:v>
                </c:pt>
                <c:pt idx="3">
                  <c:v>6514</c:v>
                </c:pt>
                <c:pt idx="4">
                  <c:v>6501.666666666667</c:v>
                </c:pt>
                <c:pt idx="5">
                  <c:v>6518.333333333333</c:v>
                </c:pt>
                <c:pt idx="6">
                  <c:v>6471.666666666667</c:v>
                </c:pt>
                <c:pt idx="7">
                  <c:v>5999.666666666667</c:v>
                </c:pt>
                <c:pt idx="8">
                  <c:v>7257</c:v>
                </c:pt>
                <c:pt idx="9">
                  <c:v>7005.333333333333</c:v>
                </c:pt>
                <c:pt idx="10">
                  <c:v>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07-42F1-948B-B00C8D8F5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396336"/>
        <c:axId val="1733065328"/>
      </c:lineChart>
      <c:catAx>
        <c:axId val="203939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65328"/>
        <c:crosses val="autoZero"/>
        <c:auto val="1"/>
        <c:lblAlgn val="ctr"/>
        <c:lblOffset val="100"/>
        <c:noMultiLvlLbl val="0"/>
      </c:catAx>
      <c:valAx>
        <c:axId val="17330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39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Question2.b!$A$3:$A$13</c:f>
              <c:numCache>
                <c:formatCode>General</c:formatCode>
                <c:ptCount val="11"/>
                <c:pt idx="0">
                  <c:v>9374</c:v>
                </c:pt>
                <c:pt idx="1">
                  <c:v>9272</c:v>
                </c:pt>
                <c:pt idx="2">
                  <c:v>6473</c:v>
                </c:pt>
                <c:pt idx="3">
                  <c:v>3948</c:v>
                </c:pt>
                <c:pt idx="4">
                  <c:v>7972</c:v>
                </c:pt>
                <c:pt idx="5">
                  <c:v>9224</c:v>
                </c:pt>
                <c:pt idx="6">
                  <c:v>2315</c:v>
                </c:pt>
                <c:pt idx="7">
                  <c:v>8665</c:v>
                </c:pt>
                <c:pt idx="8">
                  <c:v>4629</c:v>
                </c:pt>
                <c:pt idx="9">
                  <c:v>5126</c:v>
                </c:pt>
                <c:pt idx="10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8-49EF-9692-0240DF1202D8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Question2.b!$C$2:$C$12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8373</c:v>
                </c:pt>
                <c:pt idx="3">
                  <c:v>6564.333333333333</c:v>
                </c:pt>
                <c:pt idx="4">
                  <c:v>6131</c:v>
                </c:pt>
                <c:pt idx="5">
                  <c:v>7048</c:v>
                </c:pt>
                <c:pt idx="6">
                  <c:v>6503.666666666667</c:v>
                </c:pt>
                <c:pt idx="7">
                  <c:v>6734.666666666667</c:v>
                </c:pt>
                <c:pt idx="8">
                  <c:v>5203</c:v>
                </c:pt>
                <c:pt idx="9">
                  <c:v>6140</c:v>
                </c:pt>
                <c:pt idx="10">
                  <c:v>4365.333333333333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8-49EF-9692-0240DF120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513168"/>
        <c:axId val="1733134448"/>
      </c:lineChart>
      <c:catAx>
        <c:axId val="214151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34448"/>
        <c:crosses val="autoZero"/>
        <c:auto val="1"/>
        <c:lblAlgn val="ctr"/>
        <c:lblOffset val="100"/>
        <c:noMultiLvlLbl val="0"/>
      </c:catAx>
      <c:valAx>
        <c:axId val="17331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51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Question2.c!$A$3:$A$13</c:f>
              <c:numCache>
                <c:formatCode>General</c:formatCode>
                <c:ptCount val="11"/>
                <c:pt idx="0">
                  <c:v>7272</c:v>
                </c:pt>
                <c:pt idx="1">
                  <c:v>5100</c:v>
                </c:pt>
                <c:pt idx="2">
                  <c:v>4545</c:v>
                </c:pt>
                <c:pt idx="3">
                  <c:v>6512</c:v>
                </c:pt>
                <c:pt idx="4">
                  <c:v>5623</c:v>
                </c:pt>
                <c:pt idx="5">
                  <c:v>8639</c:v>
                </c:pt>
                <c:pt idx="6">
                  <c:v>5000</c:v>
                </c:pt>
                <c:pt idx="7">
                  <c:v>5041</c:v>
                </c:pt>
                <c:pt idx="8">
                  <c:v>7371</c:v>
                </c:pt>
                <c:pt idx="9">
                  <c:v>6777</c:v>
                </c:pt>
                <c:pt idx="10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5-41E8-A891-0D0A213985F6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Question2.c!$C$2:$C$12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5639</c:v>
                </c:pt>
                <c:pt idx="3">
                  <c:v>5385.666666666667</c:v>
                </c:pt>
                <c:pt idx="4">
                  <c:v>5560</c:v>
                </c:pt>
                <c:pt idx="5">
                  <c:v>6924.666666666667</c:v>
                </c:pt>
                <c:pt idx="6">
                  <c:v>6420.666666666667</c:v>
                </c:pt>
                <c:pt idx="7">
                  <c:v>6226.666666666667</c:v>
                </c:pt>
                <c:pt idx="8">
                  <c:v>5804</c:v>
                </c:pt>
                <c:pt idx="9">
                  <c:v>6396.333333333333</c:v>
                </c:pt>
                <c:pt idx="10">
                  <c:v>7252.333333333333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5-41E8-A891-0D0A21398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515952"/>
        <c:axId val="1733059568"/>
      </c:lineChart>
      <c:catAx>
        <c:axId val="214151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59568"/>
        <c:crosses val="autoZero"/>
        <c:auto val="1"/>
        <c:lblAlgn val="ctr"/>
        <c:lblOffset val="100"/>
        <c:noMultiLvlLbl val="0"/>
      </c:catAx>
      <c:valAx>
        <c:axId val="173305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51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Product A &amp;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r=-.15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Question6.a!$A$2:$A$13</c:f>
              <c:numCache>
                <c:formatCode>General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xVal>
          <c:yVal>
            <c:numRef>
              <c:f>Question6.a!$B$2:$B$13</c:f>
              <c:numCache>
                <c:formatCode>General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A-4AB7-AF20-C82F69539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48495"/>
        <c:axId val="16649039"/>
      </c:scatterChart>
      <c:valAx>
        <c:axId val="3724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A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039"/>
        <c:crosses val="autoZero"/>
        <c:crossBetween val="midCat"/>
      </c:valAx>
      <c:valAx>
        <c:axId val="1664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B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8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Between Product B &amp; C</a:t>
            </a:r>
            <a:endParaRPr lang="en-US"/>
          </a:p>
        </c:rich>
      </c:tx>
      <c:layout>
        <c:manualLayout>
          <c:xMode val="edge"/>
          <c:yMode val="edge"/>
          <c:x val="0.1724862204724409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r=-.01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Question6.b!$A$2:$A$13</c:f>
              <c:numCache>
                <c:formatCode>General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xVal>
          <c:yVal>
            <c:numRef>
              <c:f>Question6.b!$B$2:$B$13</c:f>
              <c:numCache>
                <c:formatCode>General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5-4718-B09B-E45828DFF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9215"/>
        <c:axId val="16630319"/>
      </c:scatterChart>
      <c:valAx>
        <c:axId val="37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B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319"/>
        <c:crosses val="autoZero"/>
        <c:crossBetween val="midCat"/>
      </c:valAx>
      <c:valAx>
        <c:axId val="1663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Between Product A &amp;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r=-.11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Question6.c!$A$2:$A$13</c:f>
              <c:numCache>
                <c:formatCode>General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xVal>
          <c:yVal>
            <c:numRef>
              <c:f>Question6.c!$B$2:$B$13</c:f>
              <c:numCache>
                <c:formatCode>General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A-44B9-AA10-D008400A7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6015"/>
        <c:axId val="16647599"/>
      </c:scatterChart>
      <c:valAx>
        <c:axId val="1548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A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599"/>
        <c:crosses val="autoZero"/>
        <c:crossBetween val="midCat"/>
      </c:valAx>
      <c:valAx>
        <c:axId val="166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1</xdr:row>
      <xdr:rowOff>175260</xdr:rowOff>
    </xdr:from>
    <xdr:to>
      <xdr:col>11</xdr:col>
      <xdr:colOff>594360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B983F-7847-96E1-AB7F-18D9D30C3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1</xdr:row>
      <xdr:rowOff>175260</xdr:rowOff>
    </xdr:from>
    <xdr:to>
      <xdr:col>11</xdr:col>
      <xdr:colOff>137160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E2635-713E-453F-7B88-86CF3DC6C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1</xdr:row>
      <xdr:rowOff>175260</xdr:rowOff>
    </xdr:from>
    <xdr:to>
      <xdr:col>10</xdr:col>
      <xdr:colOff>601980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701DD-3636-0C60-C3F2-701AAE961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38100</xdr:rowOff>
    </xdr:from>
    <xdr:to>
      <xdr:col>4</xdr:col>
      <xdr:colOff>0</xdr:colOff>
      <xdr:row>6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B2E151-ECCD-4D5D-76AD-15BE3D1CD36E}"/>
            </a:ext>
          </a:extLst>
        </xdr:cNvPr>
        <xdr:cNvSpPr txBox="1"/>
      </xdr:nvSpPr>
      <xdr:spPr>
        <a:xfrm>
          <a:off x="22860" y="38100"/>
          <a:ext cx="2415540" cy="1203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Question 3 Dealing With Hypothesis testing we</a:t>
          </a:r>
          <a:r>
            <a:rPr lang="en-US" sz="1100" baseline="0"/>
            <a:t> were told to skip. The class will be returning to this content later on during the course.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18</xdr:row>
      <xdr:rowOff>38100</xdr:rowOff>
    </xdr:from>
    <xdr:to>
      <xdr:col>10</xdr:col>
      <xdr:colOff>38100</xdr:colOff>
      <xdr:row>22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3958DD-2B61-C62D-EF39-BE5945DD2E2B}"/>
            </a:ext>
          </a:extLst>
        </xdr:cNvPr>
        <xdr:cNvSpPr txBox="1"/>
      </xdr:nvSpPr>
      <xdr:spPr>
        <a:xfrm>
          <a:off x="4305300" y="3360420"/>
          <a:ext cx="253746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model is not statistically significant since the F</a:t>
          </a:r>
          <a:r>
            <a:rPr lang="en-US" sz="1100" baseline="0"/>
            <a:t> Value (0.38), is low. And the P-value (0.68) is high....0.68&gt;0.05</a:t>
          </a:r>
        </a:p>
        <a:p>
          <a:endParaRPr lang="en-US" sz="1100"/>
        </a:p>
      </xdr:txBody>
    </xdr:sp>
    <xdr:clientData/>
  </xdr:twoCellAnchor>
  <xdr:twoCellAnchor>
    <xdr:from>
      <xdr:col>11</xdr:col>
      <xdr:colOff>7620</xdr:colOff>
      <xdr:row>18</xdr:row>
      <xdr:rowOff>45720</xdr:rowOff>
    </xdr:from>
    <xdr:to>
      <xdr:col>14</xdr:col>
      <xdr:colOff>594360</xdr:colOff>
      <xdr:row>24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F425F3-4F37-CFD7-E810-3371CD00B9AE}"/>
            </a:ext>
          </a:extLst>
        </xdr:cNvPr>
        <xdr:cNvSpPr txBox="1"/>
      </xdr:nvSpPr>
      <xdr:spPr>
        <a:xfrm>
          <a:off x="7421880" y="3368040"/>
          <a:ext cx="2415540" cy="1059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Since the</a:t>
          </a:r>
          <a:r>
            <a:rPr lang="en-US" sz="1100" baseline="0"/>
            <a:t> model is not statisically significant there is no "statistical" evidence to reject the null hypothesis. Meaning, there is no statisitcal evidence suggesting a strong difference in means across the products.</a:t>
          </a: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6</xdr:row>
      <xdr:rowOff>26670</xdr:rowOff>
    </xdr:from>
    <xdr:to>
      <xdr:col>13</xdr:col>
      <xdr:colOff>350520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AAA8F-17A3-B67D-8182-F0B3841F5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6</xdr:row>
      <xdr:rowOff>26670</xdr:rowOff>
    </xdr:from>
    <xdr:to>
      <xdr:col>11</xdr:col>
      <xdr:colOff>601980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0CADD-6019-8209-4EB9-0441BC7EE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6</xdr:row>
      <xdr:rowOff>26670</xdr:rowOff>
    </xdr:from>
    <xdr:to>
      <xdr:col>12</xdr:col>
      <xdr:colOff>83820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CD7F9-AEA7-66A2-C57E-DCF29C89B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7E1B-C4D7-49E0-B6E4-2D9963ADCA2D}">
  <dimension ref="A1:E14"/>
  <sheetViews>
    <sheetView workbookViewId="0">
      <selection activeCell="B2" sqref="B2"/>
    </sheetView>
  </sheetViews>
  <sheetFormatPr defaultRowHeight="14.4" x14ac:dyDescent="0.3"/>
  <sheetData>
    <row r="1" spans="1:5" x14ac:dyDescent="0.3">
      <c r="A1" s="6" t="s">
        <v>9</v>
      </c>
      <c r="B1" s="6"/>
      <c r="C1" s="6"/>
      <c r="D1" s="6"/>
      <c r="E1" s="6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>
        <v>2019</v>
      </c>
      <c r="B3" t="s">
        <v>5</v>
      </c>
      <c r="C3">
        <v>5674</v>
      </c>
      <c r="D3">
        <v>6721</v>
      </c>
      <c r="E3">
        <v>3947</v>
      </c>
    </row>
    <row r="4" spans="1:5" x14ac:dyDescent="0.3">
      <c r="A4">
        <v>2019</v>
      </c>
      <c r="B4" t="s">
        <v>6</v>
      </c>
      <c r="C4">
        <v>3598</v>
      </c>
      <c r="D4">
        <v>9374</v>
      </c>
      <c r="E4">
        <v>7272</v>
      </c>
    </row>
    <row r="5" spans="1:5" x14ac:dyDescent="0.3">
      <c r="A5">
        <v>2019</v>
      </c>
      <c r="B5" t="s">
        <v>7</v>
      </c>
      <c r="C5">
        <v>8765</v>
      </c>
      <c r="D5">
        <v>9272</v>
      </c>
      <c r="E5">
        <v>5100</v>
      </c>
    </row>
    <row r="6" spans="1:5" x14ac:dyDescent="0.3">
      <c r="A6">
        <v>2019</v>
      </c>
      <c r="B6" t="s">
        <v>8</v>
      </c>
      <c r="C6">
        <v>4539</v>
      </c>
      <c r="D6">
        <v>6473</v>
      </c>
      <c r="E6">
        <v>4545</v>
      </c>
    </row>
    <row r="7" spans="1:5" x14ac:dyDescent="0.3">
      <c r="A7">
        <v>2020</v>
      </c>
      <c r="B7" t="s">
        <v>5</v>
      </c>
      <c r="C7">
        <v>6238</v>
      </c>
      <c r="D7">
        <v>3948</v>
      </c>
      <c r="E7">
        <v>6512</v>
      </c>
    </row>
    <row r="8" spans="1:5" x14ac:dyDescent="0.3">
      <c r="A8">
        <v>2020</v>
      </c>
      <c r="B8" t="s">
        <v>6</v>
      </c>
      <c r="C8">
        <v>8728</v>
      </c>
      <c r="D8">
        <v>7972</v>
      </c>
      <c r="E8">
        <v>5623</v>
      </c>
    </row>
    <row r="9" spans="1:5" x14ac:dyDescent="0.3">
      <c r="A9">
        <v>2020</v>
      </c>
      <c r="B9" t="s">
        <v>7</v>
      </c>
      <c r="C9">
        <v>4589</v>
      </c>
      <c r="D9">
        <v>9224</v>
      </c>
      <c r="E9">
        <v>8639</v>
      </c>
    </row>
    <row r="10" spans="1:5" x14ac:dyDescent="0.3">
      <c r="A10">
        <v>2020</v>
      </c>
      <c r="B10" t="s">
        <v>8</v>
      </c>
      <c r="C10">
        <v>6098</v>
      </c>
      <c r="D10">
        <v>2315</v>
      </c>
      <c r="E10">
        <v>5000</v>
      </c>
    </row>
    <row r="11" spans="1:5" x14ac:dyDescent="0.3">
      <c r="A11">
        <v>2021</v>
      </c>
      <c r="B11" t="s">
        <v>5</v>
      </c>
      <c r="C11">
        <v>7312</v>
      </c>
      <c r="D11">
        <v>8665</v>
      </c>
      <c r="E11">
        <v>5041</v>
      </c>
    </row>
    <row r="12" spans="1:5" x14ac:dyDescent="0.3">
      <c r="A12">
        <v>2021</v>
      </c>
      <c r="B12" t="s">
        <v>6</v>
      </c>
      <c r="C12">
        <v>8361</v>
      </c>
      <c r="D12">
        <v>4629</v>
      </c>
      <c r="E12">
        <v>7371</v>
      </c>
    </row>
    <row r="13" spans="1:5" x14ac:dyDescent="0.3">
      <c r="A13">
        <v>2021</v>
      </c>
      <c r="B13" t="s">
        <v>7</v>
      </c>
      <c r="C13">
        <v>5343</v>
      </c>
      <c r="D13">
        <v>5126</v>
      </c>
      <c r="E13">
        <v>6777</v>
      </c>
    </row>
    <row r="14" spans="1:5" x14ac:dyDescent="0.3">
      <c r="A14">
        <v>2021</v>
      </c>
      <c r="B14" t="s">
        <v>8</v>
      </c>
      <c r="C14">
        <v>8265</v>
      </c>
      <c r="D14">
        <v>3341</v>
      </c>
      <c r="E14">
        <v>7609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1FF8-1515-4A34-AE99-AD7AECFAC022}">
  <dimension ref="A1:C13"/>
  <sheetViews>
    <sheetView workbookViewId="0">
      <selection activeCell="C16" sqref="C16"/>
    </sheetView>
  </sheetViews>
  <sheetFormatPr defaultRowHeight="14.4" x14ac:dyDescent="0.3"/>
  <cols>
    <col min="1" max="1" width="15.88671875" customWidth="1"/>
  </cols>
  <sheetData>
    <row r="1" spans="1:3" x14ac:dyDescent="0.3">
      <c r="A1" s="1" t="s">
        <v>2</v>
      </c>
    </row>
    <row r="2" spans="1:3" x14ac:dyDescent="0.3">
      <c r="A2">
        <v>5674</v>
      </c>
      <c r="C2" t="e">
        <v>#N/A</v>
      </c>
    </row>
    <row r="3" spans="1:3" x14ac:dyDescent="0.3">
      <c r="A3">
        <v>3598</v>
      </c>
      <c r="C3" t="e">
        <v>#N/A</v>
      </c>
    </row>
    <row r="4" spans="1:3" x14ac:dyDescent="0.3">
      <c r="A4">
        <v>8765</v>
      </c>
      <c r="C4">
        <f t="shared" ref="C4:C12" si="0">AVERAGE(A3:A5)</f>
        <v>5634</v>
      </c>
    </row>
    <row r="5" spans="1:3" x14ac:dyDescent="0.3">
      <c r="A5">
        <v>4539</v>
      </c>
      <c r="C5">
        <f t="shared" si="0"/>
        <v>6514</v>
      </c>
    </row>
    <row r="6" spans="1:3" x14ac:dyDescent="0.3">
      <c r="A6">
        <v>6238</v>
      </c>
      <c r="C6">
        <f t="shared" si="0"/>
        <v>6501.666666666667</v>
      </c>
    </row>
    <row r="7" spans="1:3" x14ac:dyDescent="0.3">
      <c r="A7">
        <v>8728</v>
      </c>
      <c r="C7">
        <f t="shared" si="0"/>
        <v>6518.333333333333</v>
      </c>
    </row>
    <row r="8" spans="1:3" x14ac:dyDescent="0.3">
      <c r="A8">
        <v>4589</v>
      </c>
      <c r="C8">
        <f t="shared" si="0"/>
        <v>6471.666666666667</v>
      </c>
    </row>
    <row r="9" spans="1:3" x14ac:dyDescent="0.3">
      <c r="A9">
        <v>6098</v>
      </c>
      <c r="C9">
        <f t="shared" si="0"/>
        <v>5999.666666666667</v>
      </c>
    </row>
    <row r="10" spans="1:3" x14ac:dyDescent="0.3">
      <c r="A10">
        <v>7312</v>
      </c>
      <c r="C10">
        <f t="shared" si="0"/>
        <v>7257</v>
      </c>
    </row>
    <row r="11" spans="1:3" x14ac:dyDescent="0.3">
      <c r="A11">
        <v>8361</v>
      </c>
      <c r="C11">
        <f t="shared" si="0"/>
        <v>7005.333333333333</v>
      </c>
    </row>
    <row r="12" spans="1:3" x14ac:dyDescent="0.3">
      <c r="A12">
        <v>5343</v>
      </c>
      <c r="C12">
        <f t="shared" si="0"/>
        <v>7323</v>
      </c>
    </row>
    <row r="13" spans="1:3" x14ac:dyDescent="0.3">
      <c r="A13">
        <v>8265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03B6-6F3E-4611-8C13-D05DEE3788B6}">
  <dimension ref="A1:C13"/>
  <sheetViews>
    <sheetView workbookViewId="0">
      <selection activeCell="F24" sqref="F24"/>
    </sheetView>
  </sheetViews>
  <sheetFormatPr defaultRowHeight="14.4" x14ac:dyDescent="0.3"/>
  <cols>
    <col min="1" max="1" width="17.21875" customWidth="1"/>
  </cols>
  <sheetData>
    <row r="1" spans="1:3" x14ac:dyDescent="0.3">
      <c r="A1" s="1" t="s">
        <v>3</v>
      </c>
    </row>
    <row r="2" spans="1:3" x14ac:dyDescent="0.3">
      <c r="A2">
        <v>6721</v>
      </c>
      <c r="C2" t="e">
        <v>#N/A</v>
      </c>
    </row>
    <row r="3" spans="1:3" x14ac:dyDescent="0.3">
      <c r="A3">
        <v>9374</v>
      </c>
      <c r="C3" t="e">
        <v>#N/A</v>
      </c>
    </row>
    <row r="4" spans="1:3" x14ac:dyDescent="0.3">
      <c r="A4">
        <v>9272</v>
      </c>
      <c r="C4">
        <f t="shared" ref="C4:C12" si="0">AVERAGE(A3:A5)</f>
        <v>8373</v>
      </c>
    </row>
    <row r="5" spans="1:3" x14ac:dyDescent="0.3">
      <c r="A5">
        <v>6473</v>
      </c>
      <c r="C5">
        <f t="shared" si="0"/>
        <v>6564.333333333333</v>
      </c>
    </row>
    <row r="6" spans="1:3" x14ac:dyDescent="0.3">
      <c r="A6">
        <v>3948</v>
      </c>
      <c r="C6">
        <f t="shared" si="0"/>
        <v>6131</v>
      </c>
    </row>
    <row r="7" spans="1:3" x14ac:dyDescent="0.3">
      <c r="A7">
        <v>7972</v>
      </c>
      <c r="C7">
        <f t="shared" si="0"/>
        <v>7048</v>
      </c>
    </row>
    <row r="8" spans="1:3" x14ac:dyDescent="0.3">
      <c r="A8">
        <v>9224</v>
      </c>
      <c r="C8">
        <f t="shared" si="0"/>
        <v>6503.666666666667</v>
      </c>
    </row>
    <row r="9" spans="1:3" x14ac:dyDescent="0.3">
      <c r="A9">
        <v>2315</v>
      </c>
      <c r="C9">
        <f t="shared" si="0"/>
        <v>6734.666666666667</v>
      </c>
    </row>
    <row r="10" spans="1:3" x14ac:dyDescent="0.3">
      <c r="A10">
        <v>8665</v>
      </c>
      <c r="C10">
        <f t="shared" si="0"/>
        <v>5203</v>
      </c>
    </row>
    <row r="11" spans="1:3" x14ac:dyDescent="0.3">
      <c r="A11">
        <v>4629</v>
      </c>
      <c r="C11">
        <f t="shared" si="0"/>
        <v>6140</v>
      </c>
    </row>
    <row r="12" spans="1:3" x14ac:dyDescent="0.3">
      <c r="A12">
        <v>5126</v>
      </c>
      <c r="C12">
        <f t="shared" si="0"/>
        <v>4365.333333333333</v>
      </c>
    </row>
    <row r="13" spans="1:3" x14ac:dyDescent="0.3">
      <c r="A13">
        <v>3341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B4C6-69FA-45A7-A2AF-8A488789FC0A}">
  <dimension ref="A1:C13"/>
  <sheetViews>
    <sheetView workbookViewId="0">
      <selection activeCell="I20" sqref="I20"/>
    </sheetView>
  </sheetViews>
  <sheetFormatPr defaultRowHeight="14.4" x14ac:dyDescent="0.3"/>
  <cols>
    <col min="1" max="1" width="14.21875" customWidth="1"/>
  </cols>
  <sheetData>
    <row r="1" spans="1:3" x14ac:dyDescent="0.3">
      <c r="A1" s="1" t="s">
        <v>4</v>
      </c>
    </row>
    <row r="2" spans="1:3" x14ac:dyDescent="0.3">
      <c r="A2">
        <v>3947</v>
      </c>
      <c r="C2" t="e">
        <v>#N/A</v>
      </c>
    </row>
    <row r="3" spans="1:3" x14ac:dyDescent="0.3">
      <c r="A3">
        <v>7272</v>
      </c>
      <c r="C3" t="e">
        <v>#N/A</v>
      </c>
    </row>
    <row r="4" spans="1:3" x14ac:dyDescent="0.3">
      <c r="A4">
        <v>5100</v>
      </c>
      <c r="C4">
        <f t="shared" ref="C4:C12" si="0">AVERAGE(A3:A5)</f>
        <v>5639</v>
      </c>
    </row>
    <row r="5" spans="1:3" x14ac:dyDescent="0.3">
      <c r="A5">
        <v>4545</v>
      </c>
      <c r="C5">
        <f t="shared" si="0"/>
        <v>5385.666666666667</v>
      </c>
    </row>
    <row r="6" spans="1:3" x14ac:dyDescent="0.3">
      <c r="A6">
        <v>6512</v>
      </c>
      <c r="C6">
        <f t="shared" si="0"/>
        <v>5560</v>
      </c>
    </row>
    <row r="7" spans="1:3" x14ac:dyDescent="0.3">
      <c r="A7">
        <v>5623</v>
      </c>
      <c r="C7">
        <f t="shared" si="0"/>
        <v>6924.666666666667</v>
      </c>
    </row>
    <row r="8" spans="1:3" x14ac:dyDescent="0.3">
      <c r="A8">
        <v>8639</v>
      </c>
      <c r="C8">
        <f t="shared" si="0"/>
        <v>6420.666666666667</v>
      </c>
    </row>
    <row r="9" spans="1:3" x14ac:dyDescent="0.3">
      <c r="A9">
        <v>5000</v>
      </c>
      <c r="C9">
        <f t="shared" si="0"/>
        <v>6226.666666666667</v>
      </c>
    </row>
    <row r="10" spans="1:3" x14ac:dyDescent="0.3">
      <c r="A10">
        <v>5041</v>
      </c>
      <c r="C10">
        <f t="shared" si="0"/>
        <v>5804</v>
      </c>
    </row>
    <row r="11" spans="1:3" x14ac:dyDescent="0.3">
      <c r="A11">
        <v>7371</v>
      </c>
      <c r="C11">
        <f t="shared" si="0"/>
        <v>6396.333333333333</v>
      </c>
    </row>
    <row r="12" spans="1:3" x14ac:dyDescent="0.3">
      <c r="A12">
        <v>6777</v>
      </c>
      <c r="C12">
        <f t="shared" si="0"/>
        <v>7252.333333333333</v>
      </c>
    </row>
    <row r="13" spans="1:3" x14ac:dyDescent="0.3">
      <c r="A13">
        <v>7609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57F5-0FC8-4407-A8CB-65E98AE5E48F}">
  <dimension ref="A1"/>
  <sheetViews>
    <sheetView workbookViewId="0">
      <selection activeCell="D21" sqref="D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7961-9438-4202-BC69-29CB11B80678}">
  <dimension ref="A1:N22"/>
  <sheetViews>
    <sheetView workbookViewId="0">
      <selection activeCell="Q19" sqref="Q19"/>
    </sheetView>
  </sheetViews>
  <sheetFormatPr defaultRowHeight="14.4" x14ac:dyDescent="0.3"/>
  <cols>
    <col min="8" max="8" width="19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>
        <v>2019</v>
      </c>
      <c r="B2" t="s">
        <v>5</v>
      </c>
      <c r="C2">
        <v>5674</v>
      </c>
      <c r="D2">
        <v>6721</v>
      </c>
      <c r="E2">
        <v>3947</v>
      </c>
      <c r="H2" t="s">
        <v>21</v>
      </c>
    </row>
    <row r="3" spans="1:14" x14ac:dyDescent="0.3">
      <c r="A3">
        <v>2019</v>
      </c>
      <c r="B3" t="s">
        <v>6</v>
      </c>
      <c r="C3">
        <v>3598</v>
      </c>
      <c r="D3">
        <v>9374</v>
      </c>
      <c r="E3">
        <v>7272</v>
      </c>
    </row>
    <row r="4" spans="1:14" ht="15" thickBot="1" x14ac:dyDescent="0.35">
      <c r="A4">
        <v>2019</v>
      </c>
      <c r="B4" t="s">
        <v>7</v>
      </c>
      <c r="C4">
        <v>8765</v>
      </c>
      <c r="D4">
        <v>9272</v>
      </c>
      <c r="E4">
        <v>5100</v>
      </c>
      <c r="H4" t="s">
        <v>16</v>
      </c>
    </row>
    <row r="5" spans="1:14" x14ac:dyDescent="0.3">
      <c r="A5">
        <v>2019</v>
      </c>
      <c r="B5" t="s">
        <v>8</v>
      </c>
      <c r="C5">
        <v>4539</v>
      </c>
      <c r="D5">
        <v>6473</v>
      </c>
      <c r="E5">
        <v>4545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22</v>
      </c>
    </row>
    <row r="6" spans="1:14" x14ac:dyDescent="0.3">
      <c r="A6">
        <v>2020</v>
      </c>
      <c r="B6" t="s">
        <v>5</v>
      </c>
      <c r="C6">
        <v>6238</v>
      </c>
      <c r="D6">
        <v>3948</v>
      </c>
      <c r="E6">
        <v>6512</v>
      </c>
      <c r="H6" t="s">
        <v>12</v>
      </c>
      <c r="I6">
        <v>11</v>
      </c>
      <c r="J6">
        <v>69245</v>
      </c>
      <c r="K6">
        <v>6295</v>
      </c>
      <c r="L6">
        <v>3192481.8</v>
      </c>
    </row>
    <row r="7" spans="1:14" x14ac:dyDescent="0.3">
      <c r="A7">
        <v>2020</v>
      </c>
      <c r="B7" t="s">
        <v>6</v>
      </c>
      <c r="C7">
        <v>8728</v>
      </c>
      <c r="D7">
        <v>7972</v>
      </c>
      <c r="E7">
        <v>5623</v>
      </c>
      <c r="H7" t="s">
        <v>13</v>
      </c>
      <c r="I7">
        <v>11</v>
      </c>
      <c r="J7">
        <v>73719</v>
      </c>
      <c r="K7">
        <v>6701.727272727273</v>
      </c>
      <c r="L7">
        <v>5923542.8181818184</v>
      </c>
    </row>
    <row r="8" spans="1:14" ht="15" thickBot="1" x14ac:dyDescent="0.35">
      <c r="A8">
        <v>2020</v>
      </c>
      <c r="B8" t="s">
        <v>7</v>
      </c>
      <c r="C8">
        <v>4589</v>
      </c>
      <c r="D8">
        <v>9224</v>
      </c>
      <c r="E8">
        <v>8639</v>
      </c>
      <c r="H8" s="2" t="s">
        <v>15</v>
      </c>
      <c r="I8" s="2">
        <v>11</v>
      </c>
      <c r="J8" s="2">
        <v>65827</v>
      </c>
      <c r="K8" s="2">
        <v>5984.272727272727</v>
      </c>
      <c r="L8" s="2">
        <v>2052874.2181818187</v>
      </c>
    </row>
    <row r="9" spans="1:14" x14ac:dyDescent="0.3">
      <c r="A9">
        <v>2020</v>
      </c>
      <c r="B9" t="s">
        <v>8</v>
      </c>
      <c r="C9">
        <v>6098</v>
      </c>
      <c r="D9">
        <v>2315</v>
      </c>
      <c r="E9">
        <v>5000</v>
      </c>
    </row>
    <row r="10" spans="1:14" x14ac:dyDescent="0.3">
      <c r="A10">
        <v>2021</v>
      </c>
      <c r="B10" t="s">
        <v>5</v>
      </c>
      <c r="C10">
        <v>7312</v>
      </c>
      <c r="D10">
        <v>8665</v>
      </c>
      <c r="E10">
        <v>5041</v>
      </c>
    </row>
    <row r="11" spans="1:14" ht="15" thickBot="1" x14ac:dyDescent="0.35">
      <c r="A11">
        <v>2021</v>
      </c>
      <c r="B11" t="s">
        <v>6</v>
      </c>
      <c r="C11">
        <v>8361</v>
      </c>
      <c r="D11">
        <v>4629</v>
      </c>
      <c r="E11">
        <v>7371</v>
      </c>
      <c r="H11" t="s">
        <v>23</v>
      </c>
    </row>
    <row r="12" spans="1:14" x14ac:dyDescent="0.3">
      <c r="A12">
        <v>2021</v>
      </c>
      <c r="B12" t="s">
        <v>7</v>
      </c>
      <c r="C12">
        <v>5343</v>
      </c>
      <c r="D12">
        <v>5126</v>
      </c>
      <c r="E12">
        <v>6777</v>
      </c>
      <c r="G12" s="3"/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</row>
    <row r="13" spans="1:14" x14ac:dyDescent="0.3">
      <c r="A13">
        <v>2021</v>
      </c>
      <c r="B13" t="s">
        <v>8</v>
      </c>
      <c r="C13">
        <v>8265</v>
      </c>
      <c r="D13">
        <v>3341</v>
      </c>
      <c r="E13">
        <v>7609</v>
      </c>
      <c r="H13" t="s">
        <v>31</v>
      </c>
      <c r="I13">
        <v>2847971.6363636255</v>
      </c>
      <c r="J13">
        <v>2</v>
      </c>
      <c r="K13">
        <v>1423985.8181818128</v>
      </c>
      <c r="L13" s="5">
        <v>0.38248689661659602</v>
      </c>
      <c r="M13" s="5">
        <v>0.68544178952818835</v>
      </c>
      <c r="N13" s="5">
        <v>3.3158295010135221</v>
      </c>
    </row>
    <row r="14" spans="1:14" x14ac:dyDescent="0.3">
      <c r="H14" t="s">
        <v>32</v>
      </c>
      <c r="I14">
        <v>111688988.36363637</v>
      </c>
      <c r="J14">
        <v>30</v>
      </c>
      <c r="K14">
        <v>3722966.2787878793</v>
      </c>
    </row>
    <row r="16" spans="1:14" ht="15" thickBot="1" x14ac:dyDescent="0.35">
      <c r="H16" s="2" t="s">
        <v>33</v>
      </c>
      <c r="I16" s="2">
        <v>114536960</v>
      </c>
      <c r="J16" s="2">
        <v>32</v>
      </c>
      <c r="K16" s="2"/>
      <c r="L16" s="2"/>
      <c r="M16" s="2"/>
      <c r="N16" s="2"/>
    </row>
    <row r="19" spans="8:10" x14ac:dyDescent="0.3">
      <c r="H19" s="7"/>
      <c r="I19" s="7"/>
      <c r="J19" s="7"/>
    </row>
    <row r="20" spans="8:10" x14ac:dyDescent="0.3">
      <c r="H20" s="7"/>
      <c r="I20" s="7"/>
      <c r="J20" s="7"/>
    </row>
    <row r="21" spans="8:10" x14ac:dyDescent="0.3">
      <c r="H21" s="7"/>
      <c r="I21" s="7"/>
      <c r="J21" s="7"/>
    </row>
    <row r="22" spans="8:10" x14ac:dyDescent="0.3">
      <c r="H22" s="7"/>
      <c r="I22" s="7"/>
      <c r="J22" s="7"/>
    </row>
  </sheetData>
  <mergeCells count="1">
    <mergeCell ref="H19:J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1012-DC23-4770-8023-A5F6142C403E}">
  <dimension ref="A1:F13"/>
  <sheetViews>
    <sheetView workbookViewId="0">
      <selection sqref="A1:B13"/>
    </sheetView>
  </sheetViews>
  <sheetFormatPr defaultRowHeight="14.4" x14ac:dyDescent="0.3"/>
  <cols>
    <col min="1" max="1" width="14.5546875" customWidth="1"/>
    <col min="2" max="2" width="15.5546875" customWidth="1"/>
  </cols>
  <sheetData>
    <row r="1" spans="1:6" x14ac:dyDescent="0.3">
      <c r="A1" t="s">
        <v>2</v>
      </c>
      <c r="B1" t="s">
        <v>3</v>
      </c>
    </row>
    <row r="2" spans="1:6" x14ac:dyDescent="0.3">
      <c r="A2">
        <v>5674</v>
      </c>
      <c r="B2">
        <v>6721</v>
      </c>
    </row>
    <row r="3" spans="1:6" ht="15" thickBot="1" x14ac:dyDescent="0.35">
      <c r="A3">
        <v>3598</v>
      </c>
      <c r="B3">
        <v>9374</v>
      </c>
    </row>
    <row r="4" spans="1:6" x14ac:dyDescent="0.3">
      <c r="A4">
        <v>8765</v>
      </c>
      <c r="B4">
        <v>9272</v>
      </c>
      <c r="D4" s="3"/>
      <c r="E4" s="3" t="s">
        <v>12</v>
      </c>
      <c r="F4" s="3" t="s">
        <v>13</v>
      </c>
    </row>
    <row r="5" spans="1:6" x14ac:dyDescent="0.3">
      <c r="A5">
        <v>4539</v>
      </c>
      <c r="B5">
        <v>6473</v>
      </c>
      <c r="D5" t="s">
        <v>12</v>
      </c>
      <c r="E5">
        <f>VARP(Question5.a!$A$2:$A$13)</f>
        <v>2956859.138888889</v>
      </c>
    </row>
    <row r="6" spans="1:6" ht="15" thickBot="1" x14ac:dyDescent="0.35">
      <c r="A6">
        <v>6238</v>
      </c>
      <c r="B6">
        <v>3948</v>
      </c>
      <c r="D6" s="2" t="s">
        <v>13</v>
      </c>
      <c r="E6" s="4">
        <v>-626214.36111111112</v>
      </c>
      <c r="F6" s="2">
        <f>VARP(Question5.a!$B$2:$B$13)</f>
        <v>5799059.055555556</v>
      </c>
    </row>
    <row r="7" spans="1:6" x14ac:dyDescent="0.3">
      <c r="A7">
        <v>8728</v>
      </c>
      <c r="B7">
        <v>7972</v>
      </c>
    </row>
    <row r="8" spans="1:6" x14ac:dyDescent="0.3">
      <c r="A8">
        <v>4589</v>
      </c>
      <c r="B8">
        <v>9224</v>
      </c>
      <c r="E8" s="7" t="s">
        <v>14</v>
      </c>
      <c r="F8" s="7"/>
    </row>
    <row r="9" spans="1:6" x14ac:dyDescent="0.3">
      <c r="A9">
        <v>6098</v>
      </c>
      <c r="B9">
        <v>2315</v>
      </c>
    </row>
    <row r="10" spans="1:6" x14ac:dyDescent="0.3">
      <c r="A10">
        <v>7312</v>
      </c>
      <c r="B10">
        <v>8665</v>
      </c>
    </row>
    <row r="11" spans="1:6" x14ac:dyDescent="0.3">
      <c r="A11">
        <v>8361</v>
      </c>
      <c r="B11">
        <v>4629</v>
      </c>
    </row>
    <row r="12" spans="1:6" x14ac:dyDescent="0.3">
      <c r="A12">
        <v>5343</v>
      </c>
      <c r="B12">
        <v>5126</v>
      </c>
    </row>
    <row r="13" spans="1:6" x14ac:dyDescent="0.3">
      <c r="A13">
        <v>8265</v>
      </c>
      <c r="B13">
        <v>3341</v>
      </c>
    </row>
  </sheetData>
  <mergeCells count="1">
    <mergeCell ref="E8:F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DCF3-0EE5-4550-ABDA-A4A3E092A0A5}">
  <dimension ref="A1:F13"/>
  <sheetViews>
    <sheetView tabSelected="1" workbookViewId="0">
      <selection activeCellId="1" sqref="A13 A1:B12"/>
    </sheetView>
  </sheetViews>
  <sheetFormatPr defaultRowHeight="14.4" x14ac:dyDescent="0.3"/>
  <cols>
    <col min="1" max="1" width="14.33203125" customWidth="1"/>
    <col min="2" max="2" width="13.5546875" customWidth="1"/>
  </cols>
  <sheetData>
    <row r="1" spans="1:6" x14ac:dyDescent="0.3">
      <c r="A1" t="s">
        <v>3</v>
      </c>
      <c r="B1" t="s">
        <v>4</v>
      </c>
    </row>
    <row r="2" spans="1:6" x14ac:dyDescent="0.3">
      <c r="A2">
        <v>6721</v>
      </c>
      <c r="B2">
        <v>3947</v>
      </c>
    </row>
    <row r="3" spans="1:6" ht="15" thickBot="1" x14ac:dyDescent="0.35">
      <c r="A3">
        <v>9374</v>
      </c>
      <c r="B3">
        <v>7272</v>
      </c>
    </row>
    <row r="4" spans="1:6" x14ac:dyDescent="0.3">
      <c r="A4">
        <v>9272</v>
      </c>
      <c r="B4">
        <v>5100</v>
      </c>
      <c r="D4" s="3"/>
      <c r="E4" s="3" t="s">
        <v>13</v>
      </c>
      <c r="F4" s="3" t="s">
        <v>15</v>
      </c>
    </row>
    <row r="5" spans="1:6" x14ac:dyDescent="0.3">
      <c r="A5">
        <v>6473</v>
      </c>
      <c r="B5">
        <v>4545</v>
      </c>
      <c r="D5" t="s">
        <v>13</v>
      </c>
      <c r="E5">
        <f>VARP(Question5.b!$A$2:$A$13)</f>
        <v>5799059.055555556</v>
      </c>
    </row>
    <row r="6" spans="1:6" ht="15" thickBot="1" x14ac:dyDescent="0.35">
      <c r="A6">
        <v>3948</v>
      </c>
      <c r="B6">
        <v>6512</v>
      </c>
      <c r="D6" s="2" t="s">
        <v>15</v>
      </c>
      <c r="E6" s="4">
        <v>-35062.527777777788</v>
      </c>
      <c r="F6" s="2">
        <f>VARP(Question5.b!$B$2:$B$13)</f>
        <v>1912375.2222222222</v>
      </c>
    </row>
    <row r="7" spans="1:6" x14ac:dyDescent="0.3">
      <c r="A7">
        <v>7972</v>
      </c>
      <c r="B7">
        <v>5623</v>
      </c>
    </row>
    <row r="8" spans="1:6" x14ac:dyDescent="0.3">
      <c r="A8">
        <v>9224</v>
      </c>
      <c r="B8">
        <v>8639</v>
      </c>
      <c r="E8" s="7" t="s">
        <v>14</v>
      </c>
      <c r="F8" s="7"/>
    </row>
    <row r="9" spans="1:6" x14ac:dyDescent="0.3">
      <c r="A9">
        <v>2315</v>
      </c>
      <c r="B9">
        <v>5000</v>
      </c>
    </row>
    <row r="10" spans="1:6" x14ac:dyDescent="0.3">
      <c r="A10">
        <v>8665</v>
      </c>
      <c r="B10">
        <v>5041</v>
      </c>
    </row>
    <row r="11" spans="1:6" x14ac:dyDescent="0.3">
      <c r="A11">
        <v>4629</v>
      </c>
      <c r="B11">
        <v>7371</v>
      </c>
    </row>
    <row r="12" spans="1:6" x14ac:dyDescent="0.3">
      <c r="A12">
        <v>5126</v>
      </c>
      <c r="B12">
        <v>6777</v>
      </c>
    </row>
    <row r="13" spans="1:6" x14ac:dyDescent="0.3">
      <c r="A13">
        <v>3341</v>
      </c>
      <c r="B13">
        <v>7609</v>
      </c>
    </row>
  </sheetData>
  <mergeCells count="1">
    <mergeCell ref="E8:F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DA44-BEFD-43AD-A323-16FE0AE94AA3}">
  <dimension ref="A1:F13"/>
  <sheetViews>
    <sheetView workbookViewId="0">
      <selection sqref="A1:B13"/>
    </sheetView>
  </sheetViews>
  <sheetFormatPr defaultRowHeight="14.4" x14ac:dyDescent="0.3"/>
  <cols>
    <col min="1" max="1" width="14.109375" customWidth="1"/>
    <col min="2" max="2" width="13.88671875" customWidth="1"/>
  </cols>
  <sheetData>
    <row r="1" spans="1:6" x14ac:dyDescent="0.3">
      <c r="A1" t="s">
        <v>2</v>
      </c>
      <c r="B1" t="s">
        <v>4</v>
      </c>
    </row>
    <row r="2" spans="1:6" x14ac:dyDescent="0.3">
      <c r="A2">
        <v>5674</v>
      </c>
      <c r="B2">
        <v>3947</v>
      </c>
    </row>
    <row r="3" spans="1:6" ht="15" thickBot="1" x14ac:dyDescent="0.35">
      <c r="A3">
        <v>3598</v>
      </c>
      <c r="B3">
        <v>7272</v>
      </c>
    </row>
    <row r="4" spans="1:6" x14ac:dyDescent="0.3">
      <c r="A4">
        <v>8765</v>
      </c>
      <c r="B4">
        <v>5100</v>
      </c>
      <c r="D4" s="3"/>
      <c r="E4" s="3" t="s">
        <v>12</v>
      </c>
      <c r="F4" s="3" t="s">
        <v>13</v>
      </c>
    </row>
    <row r="5" spans="1:6" x14ac:dyDescent="0.3">
      <c r="A5">
        <v>4539</v>
      </c>
      <c r="B5">
        <v>4545</v>
      </c>
      <c r="D5" t="s">
        <v>12</v>
      </c>
      <c r="E5">
        <f>VARP(Question5.c!$A$2:$A$13)</f>
        <v>2956859.138888889</v>
      </c>
    </row>
    <row r="6" spans="1:6" ht="15" thickBot="1" x14ac:dyDescent="0.35">
      <c r="A6">
        <v>6238</v>
      </c>
      <c r="B6">
        <v>6512</v>
      </c>
      <c r="D6" s="2" t="s">
        <v>13</v>
      </c>
      <c r="E6" s="4">
        <v>-251982.02777777772</v>
      </c>
      <c r="F6" s="2">
        <f>VARP(Question5.c!$B$2:$B$13)</f>
        <v>1912375.2222222222</v>
      </c>
    </row>
    <row r="7" spans="1:6" x14ac:dyDescent="0.3">
      <c r="A7">
        <v>8728</v>
      </c>
      <c r="B7">
        <v>5623</v>
      </c>
    </row>
    <row r="8" spans="1:6" x14ac:dyDescent="0.3">
      <c r="A8">
        <v>4589</v>
      </c>
      <c r="B8">
        <v>8639</v>
      </c>
      <c r="E8" s="7" t="s">
        <v>14</v>
      </c>
      <c r="F8" s="7"/>
    </row>
    <row r="9" spans="1:6" x14ac:dyDescent="0.3">
      <c r="A9">
        <v>6098</v>
      </c>
      <c r="B9">
        <v>5000</v>
      </c>
    </row>
    <row r="10" spans="1:6" x14ac:dyDescent="0.3">
      <c r="A10">
        <v>7312</v>
      </c>
      <c r="B10">
        <v>5041</v>
      </c>
    </row>
    <row r="11" spans="1:6" x14ac:dyDescent="0.3">
      <c r="A11">
        <v>8361</v>
      </c>
      <c r="B11">
        <v>7371</v>
      </c>
    </row>
    <row r="12" spans="1:6" x14ac:dyDescent="0.3">
      <c r="A12">
        <v>5343</v>
      </c>
      <c r="B12">
        <v>6777</v>
      </c>
    </row>
    <row r="13" spans="1:6" x14ac:dyDescent="0.3">
      <c r="A13">
        <v>8265</v>
      </c>
      <c r="B13">
        <v>7609</v>
      </c>
    </row>
  </sheetData>
  <mergeCells count="1">
    <mergeCell ref="E8:F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9FF0-B3C4-4711-8D7E-D3CDED445980}">
  <dimension ref="A1:F13"/>
  <sheetViews>
    <sheetView workbookViewId="0">
      <selection activeCell="C1" sqref="C1"/>
    </sheetView>
  </sheetViews>
  <sheetFormatPr defaultRowHeight="14.4" x14ac:dyDescent="0.3"/>
  <cols>
    <col min="1" max="1" width="15.6640625" customWidth="1"/>
    <col min="2" max="2" width="13.88671875" customWidth="1"/>
  </cols>
  <sheetData>
    <row r="1" spans="1:6" ht="15" thickBot="1" x14ac:dyDescent="0.35">
      <c r="A1" t="s">
        <v>2</v>
      </c>
      <c r="B1" t="s">
        <v>3</v>
      </c>
    </row>
    <row r="2" spans="1:6" x14ac:dyDescent="0.3">
      <c r="A2">
        <v>5674</v>
      </c>
      <c r="B2">
        <v>6721</v>
      </c>
      <c r="D2" s="3"/>
      <c r="E2" s="3" t="s">
        <v>12</v>
      </c>
      <c r="F2" s="3" t="s">
        <v>13</v>
      </c>
    </row>
    <row r="3" spans="1:6" x14ac:dyDescent="0.3">
      <c r="A3">
        <v>3598</v>
      </c>
      <c r="B3">
        <v>9374</v>
      </c>
      <c r="D3" t="s">
        <v>12</v>
      </c>
      <c r="E3">
        <v>1</v>
      </c>
    </row>
    <row r="4" spans="1:6" ht="15" thickBot="1" x14ac:dyDescent="0.35">
      <c r="A4">
        <v>8765</v>
      </c>
      <c r="B4">
        <v>9272</v>
      </c>
      <c r="D4" s="2" t="s">
        <v>13</v>
      </c>
      <c r="E4" s="2">
        <v>-0.15122686166151589</v>
      </c>
      <c r="F4" s="2">
        <v>1</v>
      </c>
    </row>
    <row r="5" spans="1:6" x14ac:dyDescent="0.3">
      <c r="A5">
        <v>4539</v>
      </c>
      <c r="B5">
        <v>6473</v>
      </c>
    </row>
    <row r="6" spans="1:6" x14ac:dyDescent="0.3">
      <c r="A6">
        <v>6238</v>
      </c>
      <c r="B6">
        <v>3948</v>
      </c>
    </row>
    <row r="7" spans="1:6" x14ac:dyDescent="0.3">
      <c r="A7">
        <v>8728</v>
      </c>
      <c r="B7">
        <v>7972</v>
      </c>
    </row>
    <row r="8" spans="1:6" x14ac:dyDescent="0.3">
      <c r="A8">
        <v>4589</v>
      </c>
      <c r="B8">
        <v>9224</v>
      </c>
    </row>
    <row r="9" spans="1:6" x14ac:dyDescent="0.3">
      <c r="A9">
        <v>6098</v>
      </c>
      <c r="B9">
        <v>2315</v>
      </c>
    </row>
    <row r="10" spans="1:6" x14ac:dyDescent="0.3">
      <c r="A10">
        <v>7312</v>
      </c>
      <c r="B10">
        <v>8665</v>
      </c>
    </row>
    <row r="11" spans="1:6" x14ac:dyDescent="0.3">
      <c r="A11">
        <v>8361</v>
      </c>
      <c r="B11">
        <v>4629</v>
      </c>
    </row>
    <row r="12" spans="1:6" x14ac:dyDescent="0.3">
      <c r="A12">
        <v>5343</v>
      </c>
      <c r="B12">
        <v>5126</v>
      </c>
    </row>
    <row r="13" spans="1:6" x14ac:dyDescent="0.3">
      <c r="A13">
        <v>8265</v>
      </c>
      <c r="B13">
        <v>3341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91C3-FA25-47AC-96C5-A3D3C464C057}">
  <dimension ref="A1:F13"/>
  <sheetViews>
    <sheetView workbookViewId="0">
      <selection activeCell="E19" sqref="E19"/>
    </sheetView>
  </sheetViews>
  <sheetFormatPr defaultRowHeight="14.4" x14ac:dyDescent="0.3"/>
  <cols>
    <col min="1" max="1" width="14.44140625" customWidth="1"/>
    <col min="2" max="2" width="13.6640625" customWidth="1"/>
  </cols>
  <sheetData>
    <row r="1" spans="1:6" ht="15" thickBot="1" x14ac:dyDescent="0.35">
      <c r="A1" t="s">
        <v>3</v>
      </c>
      <c r="B1" t="s">
        <v>4</v>
      </c>
    </row>
    <row r="2" spans="1:6" x14ac:dyDescent="0.3">
      <c r="A2">
        <v>6721</v>
      </c>
      <c r="B2">
        <v>3947</v>
      </c>
      <c r="D2" s="3"/>
      <c r="E2" s="3" t="s">
        <v>10</v>
      </c>
      <c r="F2" s="3" t="s">
        <v>11</v>
      </c>
    </row>
    <row r="3" spans="1:6" x14ac:dyDescent="0.3">
      <c r="A3">
        <v>9374</v>
      </c>
      <c r="B3">
        <v>7272</v>
      </c>
      <c r="D3" t="s">
        <v>10</v>
      </c>
      <c r="E3">
        <v>1</v>
      </c>
    </row>
    <row r="4" spans="1:6" ht="15" thickBot="1" x14ac:dyDescent="0.35">
      <c r="A4">
        <v>9272</v>
      </c>
      <c r="B4">
        <v>5100</v>
      </c>
      <c r="D4" s="2" t="s">
        <v>11</v>
      </c>
      <c r="E4" s="2">
        <v>-1.0528776405318329E-2</v>
      </c>
      <c r="F4" s="2">
        <v>1</v>
      </c>
    </row>
    <row r="5" spans="1:6" x14ac:dyDescent="0.3">
      <c r="A5">
        <v>6473</v>
      </c>
      <c r="B5">
        <v>4545</v>
      </c>
    </row>
    <row r="6" spans="1:6" x14ac:dyDescent="0.3">
      <c r="A6">
        <v>3948</v>
      </c>
      <c r="B6">
        <v>6512</v>
      </c>
    </row>
    <row r="7" spans="1:6" x14ac:dyDescent="0.3">
      <c r="A7">
        <v>7972</v>
      </c>
      <c r="B7">
        <v>5623</v>
      </c>
    </row>
    <row r="8" spans="1:6" x14ac:dyDescent="0.3">
      <c r="A8">
        <v>9224</v>
      </c>
      <c r="B8">
        <v>8639</v>
      </c>
    </row>
    <row r="9" spans="1:6" x14ac:dyDescent="0.3">
      <c r="A9">
        <v>2315</v>
      </c>
      <c r="B9">
        <v>5000</v>
      </c>
    </row>
    <row r="10" spans="1:6" x14ac:dyDescent="0.3">
      <c r="A10">
        <v>8665</v>
      </c>
      <c r="B10">
        <v>5041</v>
      </c>
    </row>
    <row r="11" spans="1:6" x14ac:dyDescent="0.3">
      <c r="A11">
        <v>4629</v>
      </c>
      <c r="B11">
        <v>7371</v>
      </c>
    </row>
    <row r="12" spans="1:6" x14ac:dyDescent="0.3">
      <c r="A12">
        <v>5126</v>
      </c>
      <c r="B12">
        <v>6777</v>
      </c>
    </row>
    <row r="13" spans="1:6" x14ac:dyDescent="0.3">
      <c r="A13">
        <v>3341</v>
      </c>
      <c r="B13">
        <v>7609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3C4E-6C63-41E9-9BAD-3CFF193BACB5}">
  <dimension ref="A1:F13"/>
  <sheetViews>
    <sheetView workbookViewId="0">
      <selection activeCell="B21" sqref="B21"/>
    </sheetView>
  </sheetViews>
  <sheetFormatPr defaultRowHeight="14.4" x14ac:dyDescent="0.3"/>
  <cols>
    <col min="1" max="1" width="13.44140625" customWidth="1"/>
    <col min="2" max="2" width="13.33203125" customWidth="1"/>
  </cols>
  <sheetData>
    <row r="1" spans="1:6" ht="15" thickBot="1" x14ac:dyDescent="0.35">
      <c r="A1" t="s">
        <v>2</v>
      </c>
      <c r="B1" t="s">
        <v>4</v>
      </c>
    </row>
    <row r="2" spans="1:6" x14ac:dyDescent="0.3">
      <c r="A2">
        <v>5674</v>
      </c>
      <c r="B2">
        <v>3947</v>
      </c>
      <c r="D2" s="3"/>
      <c r="E2" s="3" t="s">
        <v>10</v>
      </c>
      <c r="F2" s="3" t="s">
        <v>11</v>
      </c>
    </row>
    <row r="3" spans="1:6" x14ac:dyDescent="0.3">
      <c r="A3">
        <v>3598</v>
      </c>
      <c r="B3">
        <v>7272</v>
      </c>
      <c r="D3" t="s">
        <v>10</v>
      </c>
      <c r="E3">
        <v>1</v>
      </c>
    </row>
    <row r="4" spans="1:6" ht="15" thickBot="1" x14ac:dyDescent="0.35">
      <c r="A4">
        <v>8765</v>
      </c>
      <c r="B4">
        <v>5100</v>
      </c>
      <c r="D4" s="2" t="s">
        <v>11</v>
      </c>
      <c r="E4" s="2">
        <v>-0.10596628148938629</v>
      </c>
      <c r="F4" s="2">
        <v>1</v>
      </c>
    </row>
    <row r="5" spans="1:6" x14ac:dyDescent="0.3">
      <c r="A5">
        <v>4539</v>
      </c>
      <c r="B5">
        <v>4545</v>
      </c>
    </row>
    <row r="6" spans="1:6" x14ac:dyDescent="0.3">
      <c r="A6">
        <v>6238</v>
      </c>
      <c r="B6">
        <v>6512</v>
      </c>
    </row>
    <row r="7" spans="1:6" x14ac:dyDescent="0.3">
      <c r="A7">
        <v>8728</v>
      </c>
      <c r="B7">
        <v>5623</v>
      </c>
    </row>
    <row r="8" spans="1:6" x14ac:dyDescent="0.3">
      <c r="A8">
        <v>4589</v>
      </c>
      <c r="B8">
        <v>8639</v>
      </c>
    </row>
    <row r="9" spans="1:6" x14ac:dyDescent="0.3">
      <c r="A9">
        <v>6098</v>
      </c>
      <c r="B9">
        <v>5000</v>
      </c>
    </row>
    <row r="10" spans="1:6" x14ac:dyDescent="0.3">
      <c r="A10">
        <v>7312</v>
      </c>
      <c r="B10">
        <v>5041</v>
      </c>
    </row>
    <row r="11" spans="1:6" x14ac:dyDescent="0.3">
      <c r="A11">
        <v>8361</v>
      </c>
      <c r="B11">
        <v>7371</v>
      </c>
    </row>
    <row r="12" spans="1:6" x14ac:dyDescent="0.3">
      <c r="A12">
        <v>5343</v>
      </c>
      <c r="B12">
        <v>6777</v>
      </c>
    </row>
    <row r="13" spans="1:6" x14ac:dyDescent="0.3">
      <c r="A13">
        <v>8265</v>
      </c>
      <c r="B13">
        <v>7609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Question 1</vt:lpstr>
      <vt:lpstr>Question2.a</vt:lpstr>
      <vt:lpstr>Question2.b</vt:lpstr>
      <vt:lpstr>Question2.c</vt:lpstr>
      <vt:lpstr>Question3</vt:lpstr>
      <vt:lpstr>Question4</vt:lpstr>
      <vt:lpstr>Question5.a</vt:lpstr>
      <vt:lpstr>Question5.b</vt:lpstr>
      <vt:lpstr>Question5.c</vt:lpstr>
      <vt:lpstr>Question6.a</vt:lpstr>
      <vt:lpstr>Question6.b</vt:lpstr>
      <vt:lpstr>Question6.c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 Jobe</cp:lastModifiedBy>
  <dcterms:created xsi:type="dcterms:W3CDTF">2026-08-31T18:29:24Z</dcterms:created>
  <dcterms:modified xsi:type="dcterms:W3CDTF">2026-09-02T14:26:54Z</dcterms:modified>
</cp:coreProperties>
</file>